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<sst xmlns="http://schemas.openxmlformats.org/spreadsheetml/2006/main" count="38" uniqueCount="37">
  <si>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INVOICE</t>
  </si>
  <si>
    <t xml:space="preserve">Bill To:</t>
  </si>
  <si>
    <t xml:space="preserve">Youssef Hamdy</t>
  </si>
  <si>
    <t xml:space="preserve">Invoice #:</t>
  </si>
  <si>
    <t xml:space="preserve">Alexandria, 21500</t>
  </si>
  <si>
    <t xml:space="preserve">PO #:</t>
  </si>
  <si>
    <t xml:space="preserve">y.hamdy@marinaimports.eg</t>
  </si>
  <si>
    <t xml:space="preserve">Invoice Date:</t>
  </si>
  <si>
    <t xml:space="preserve">Tax Registration #</t>
  </si>
  <si>
    <t xml:space="preserve">Tax File #</t>
  </si>
  <si>
    <t xml:space="preserve">09/88213/04477/2</t>
  </si>
  <si>
    <t xml:space="preserve">Commercial Registration #</t>
  </si>
  <si>
    <t xml:space="preserve">Item Name</t>
  </si>
  <si>
    <t xml:space="preserve">Description</t>
  </si>
  <si>
    <t xml:space="preserve">Price</t>
  </si>
  <si>
    <t xml:space="preserve">Quantity</t>
  </si>
  <si>
    <t xml:space="preserve">Total</t>
  </si>
  <si>
    <t xml:space="preserve">Oak Dining Table</t>
  </si>
  <si>
    <t xml:space="preserve">6-seater solid oak dining table</t>
  </si>
  <si>
    <t xml:space="preserve">Velvet Armchair</t>
  </si>
  <si>
    <t xml:space="preserve">Upholstered accent armchair, emerald</t>
  </si>
  <si>
    <t xml:space="preserve">Bookshelf Unit</t>
  </si>
  <si>
    <t xml:space="preserve">5-tier walnut-finish bookshelf</t>
  </si>
  <si>
    <t xml:space="preserve">Coffee Table</t>
  </si>
  <si>
    <t xml:space="preserve">Round glass-top coffee table</t>
  </si>
  <si>
    <t xml:space="preserve">Bed Frame - Queen</t>
  </si>
  <si>
    <t xml:space="preserve">Upholstered queen bed frame, grey</t>
  </si>
  <si>
    <t xml:space="preserve">Subtotal:</t>
  </si>
  <si>
    <t xml:space="preserve">Tax:</t>
  </si>
  <si>
    <t xml:space="preserve">Total:</t>
  </si>
  <si>
    <t xml:space="preserve">Payment Methods:</t>
  </si>
  <si>
    <t xml:space="preserve">Terms &amp; Conditions:</t>
  </si>
  <si>
    <t xml:space="preserve">CIB / Bank acc</t>
  </si>
  <si>
    <t xml:space="preserve">Contact Info:</t>
  </si>
  <si>
    <t xml:space="preserve">Marina Imports for Home Furnishing</t>
  </si>
  <si>
    <t xml:space="preserve">sales@marinaimports.eg</t>
  </si>
  <si>
    <t xml:space="preserve">Signature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</si>
</sst>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\$#,##0.00"/>
    <numFmt numFmtId="167" formatCode="0"/>
    <numFmt numFmtId="168" formatCode="0.00%"/>
    <numFmt numFmtId="169" formatCode="\$#,##0.00_);&quot;($&quot;#,##0.00\)"/>
  </numFmts>
  <fonts count="17">
    <font>
      <sz val="11"/>
      <color theme="1"/>
      <name val="Georgia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Georgia"/>
      <family val="2"/>
      <charset val="1"/>
    </font>
    <font>
      <sz val="12"/>
      <color theme="1"/>
      <name val="Georgia"/>
      <family val="2"/>
      <charset val="1"/>
    </font>
    <font>
      <sz val="12"/>
      <color theme="9" tint="0.7999"/>
      <name val="Georgia"/>
      <family val="2"/>
      <charset val="1"/>
    </font>
    <font>
      <sz val="12"/>
      <color rgb="FF000000"/>
      <name val="Georgia"/>
      <family val="2"/>
      <charset val="1"/>
    </font>
    <font>
      <b val="true"/>
      <sz val="60"/>
      <color theme="1"/>
      <name val="Corbel"/>
      <family val="2"/>
      <charset val="1"/>
    </font>
    <font>
      <b val="true"/>
      <sz val="12"/>
      <color theme="1"/>
      <name val="Georgia"/>
      <family val="2"/>
      <charset val="1"/>
    </font>
    <font>
      <b val="true"/>
      <sz val="13"/>
      <color theme="1"/>
      <name val="Georgia"/>
      <family val="2"/>
      <charset val="1"/>
    </font>
    <font>
      <u val="single"/>
      <sz val="11"/>
      <color theme="10"/>
      <name val="Georgia"/>
      <family val="0"/>
      <charset val="134"/>
    </font>
    <font>
      <b val="true"/>
      <sz val="12"/>
      <color rgb="FF000000"/>
      <name val="Georgia"/>
      <family val="0"/>
      <charset val="1"/>
    </font>
    <font>
      <sz val="12"/>
      <color theme="1"/>
      <name val="DengXian"/>
      <family val="1"/>
      <charset val="1"/>
    </font>
    <font>
      <sz val="13"/>
      <color theme="1"/>
      <name val="Georgia"/>
      <family val="2"/>
      <charset val="1"/>
    </font>
    <font>
      <sz val="12"/>
      <color rgb="FF000000"/>
      <name val="Corbel"/>
      <family val="2"/>
      <charset val="1"/>
    </font>
    <font>
      <sz val="11"/>
      <color theme="1"/>
      <name val="DengXian"/>
      <family val="4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969696"/>
      </patternFill>
    </fill>
    <fill>
      <patternFill patternType="solid">
        <fgColor theme="4" tint="0.5999"/>
        <bgColor rgb="FFFFFF99"/>
      </patternFill>
    </fill>
    <fill>
      <patternFill patternType="solid">
        <fgColor theme="0"/>
        <bgColor rgb="FFE3F2D9"/>
      </patternFill>
    </fill>
    <fill>
      <patternFill patternType="solid">
        <fgColor theme="7" tint="0.7999"/>
        <bgColor rgb="FFFFF1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7"/>
      </left>
      <right/>
      <top style="thin">
        <color theme="7"/>
      </top>
      <bottom/>
      <diagonal/>
    </border>
    <border diagonalUp="false" diagonalDown="false">
      <left/>
      <right style="thin">
        <color theme="7"/>
      </right>
      <top style="thin">
        <color theme="7"/>
      </top>
      <bottom/>
      <diagonal/>
    </border>
    <border diagonalUp="false" diagonalDown="false">
      <left style="thin">
        <color theme="7"/>
      </left>
      <right/>
      <top style="thin">
        <color theme="7"/>
      </top>
      <bottom style="thin">
        <color theme="7"/>
      </bottom>
      <diagonal/>
    </border>
    <border diagonalUp="false" diagonalDown="false">
      <left/>
      <right style="thin">
        <color theme="7"/>
      </right>
      <top style="thin">
        <color theme="7"/>
      </top>
      <bottom style="thin">
        <color theme="7"/>
      </bottom>
      <diagonal/>
    </border>
    <border diagonalUp="false" diagonalDown="false">
      <left style="thin">
        <color theme="7"/>
      </left>
      <right/>
      <top/>
      <bottom style="thin">
        <color theme="7"/>
      </bottom>
      <diagonal/>
    </border>
    <border diagonalUp="false" diagonalDown="false">
      <left/>
      <right style="thin">
        <color theme="7"/>
      </right>
      <top/>
      <bottom style="thin">
        <color theme="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" fillId="4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26E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D9"/>
      <rgbColor rgb="FFFFFF99"/>
      <rgbColor rgb="FF99CCFF"/>
      <rgbColor rgb="FFFF99CC"/>
      <rgbColor rgb="FFCC99FF"/>
      <rgbColor rgb="FFFADBDF"/>
      <rgbColor rgb="FF3366FF"/>
      <rgbColor rgb="FF33CCCC"/>
      <rgbColor rgb="FF75BD4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" displayName="invoice" ref="B14:F23" headerRowCount="1" totalsRowCount="0" totalsRowShown="0">
  <autoFilter ref="B14:F2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tem Name"/>
    <tableColumn id="2" name="Description"/>
    <tableColumn id="3" name="Price"/>
    <tableColumn id="4" name="Quantity"/>
    <tableColumn id="5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Custom 3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 pitchFamily="0" charset="1"/>
        <a:ea typeface=""/>
        <a:cs typeface=""/>
      </a:majorFont>
      <a:minorFont>
        <a:latin typeface="Georgia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delrahmanezz@jse.eg" TargetMode="External"/><Relationship Id="rId2" Type="http://schemas.openxmlformats.org/officeDocument/2006/relationships/hyperlink" Target="mailto:finance@abotaleb.eg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BD42"/>
    <pageSetUpPr fitToPage="tru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2.63"/>
    <col collapsed="false" customWidth="true" hidden="false" outlineLevel="0" max="3" min="2" style="1" width="19.63"/>
    <col collapsed="false" customWidth="true" hidden="false" outlineLevel="0" max="6" min="4" style="1" width="17.63"/>
    <col collapsed="false" customWidth="true" hidden="false" outlineLevel="0" max="7" min="7" style="1" width="2.63"/>
  </cols>
  <sheetData>
    <row r="1" customFormat="false" ht="24" hidden="false" customHeight="true" outlineLevel="0" collapsed="false">
      <c r="A1" s="2"/>
      <c r="B1" s="3"/>
      <c r="C1" s="3"/>
      <c r="D1" s="4"/>
      <c r="E1" s="5"/>
      <c r="F1" s="5"/>
    </row>
    <row r="2" s="7" customFormat="true" ht="19.5" hidden="false" customHeight="true" outlineLevel="0" collapsed="false">
      <c r="A2" s="2"/>
      <c r="B2" s="6" t="s">
        <v>0</v>
      </c>
      <c r="C2" s="6"/>
      <c r="D2" s="6"/>
      <c r="E2" s="3"/>
      <c r="F2" s="3"/>
    </row>
    <row r="3" s="7" customFormat="true" ht="30" hidden="false" customHeight="true" outlineLevel="0" collapsed="false">
      <c r="A3" s="8"/>
      <c r="B3" s="6"/>
      <c r="C3" s="6"/>
      <c r="D3" s="6"/>
      <c r="E3" s="9"/>
      <c r="F3" s="9"/>
    </row>
    <row r="4" s="7" customFormat="true" ht="19.5" hidden="false" customHeight="true" outlineLevel="0" collapsed="false">
      <c r="A4" s="8"/>
      <c r="B4" s="6"/>
      <c r="C4" s="6"/>
      <c r="D4" s="6"/>
      <c r="E4" s="9"/>
      <c r="F4" s="9"/>
    </row>
    <row r="5" s="7" customFormat="true" ht="24" hidden="false" customHeight="true" outlineLevel="0" collapsed="false">
      <c r="B5" s="10"/>
      <c r="C5" s="10"/>
      <c r="D5" s="10"/>
      <c r="E5" s="10"/>
      <c r="F5" s="10"/>
    </row>
    <row r="6" s="7" customFormat="true" ht="19.5" hidden="false" customHeight="true" outlineLevel="0" collapsed="false">
      <c r="A6" s="8"/>
      <c r="B6" s="11"/>
      <c r="C6" s="11"/>
      <c r="D6" s="11"/>
      <c r="E6" s="11"/>
      <c r="F6" s="11"/>
    </row>
    <row r="7" s="7" customFormat="true" ht="19.5" hidden="false" customHeight="true" outlineLevel="0" collapsed="false">
      <c r="A7" s="8"/>
      <c r="B7" s="12" t="s">
        <v>1</v>
      </c>
      <c r="C7" s="12"/>
      <c r="D7" s="11"/>
      <c r="E7" s="11"/>
      <c r="F7" s="11"/>
    </row>
    <row r="8" s="7" customFormat="true" ht="19.5" hidden="false" customHeight="true" outlineLevel="0" collapsed="false">
      <c r="A8" s="8"/>
      <c r="B8" s="13" t="s">
        <v>2</v>
      </c>
      <c r="C8" s="13"/>
      <c r="D8" s="11"/>
      <c r="E8" s="14" t="s">
        <v>3</v>
      </c>
      <c r="F8" s="15" t="n">
        <v>987654321</v>
      </c>
    </row>
    <row r="9" s="7" customFormat="true" ht="19.5" hidden="false" customHeight="true" outlineLevel="0" collapsed="false">
      <c r="A9" s="8"/>
      <c r="B9" s="13" t="s">
        <v>4</v>
      </c>
      <c r="C9" s="13"/>
      <c r="D9" s="11"/>
      <c r="E9" s="14" t="s">
        <v>5</v>
      </c>
      <c r="F9" s="15" t="n">
        <v>445566778</v>
      </c>
    </row>
    <row r="10" s="7" customFormat="true" ht="19.5" hidden="false" customHeight="true" outlineLevel="0" collapsed="false">
      <c r="A10" s="8"/>
      <c r="B10" s="16" t="s">
        <v>6</v>
      </c>
      <c r="C10" s="16"/>
      <c r="D10" s="11"/>
      <c r="E10" s="14" t="s">
        <v>7</v>
      </c>
      <c r="F10" s="17" t="n">
        <v>46268</v>
      </c>
    </row>
    <row r="11" s="7" customFormat="true" ht="19.5" hidden="false" customHeight="true" outlineLevel="0" collapsed="false">
      <c r="A11" s="8"/>
      <c r="B11" s="13" t="n">
        <v>100205839201</v>
      </c>
      <c r="C11" s="13"/>
      <c r="E11" s="18" t="s">
        <v>8</v>
      </c>
      <c r="F11" s="17"/>
    </row>
    <row r="12" s="7" customFormat="true" ht="19.5" hidden="false" customHeight="true" outlineLevel="0" collapsed="false">
      <c r="A12" s="19"/>
      <c r="B12" s="11"/>
      <c r="C12" s="11"/>
      <c r="D12" s="11"/>
      <c r="E12" s="18" t="s">
        <v>9</v>
      </c>
      <c r="F12" s="11" t="s">
        <v>10</v>
      </c>
    </row>
    <row r="13" s="7" customFormat="true" ht="19.5" hidden="false" customHeight="true" outlineLevel="0" collapsed="false">
      <c r="A13" s="19"/>
      <c r="B13" s="11"/>
      <c r="C13" s="11"/>
      <c r="D13" s="11"/>
      <c r="E13" s="18" t="s">
        <v>11</v>
      </c>
      <c r="F13" s="11"/>
    </row>
    <row r="14" customFormat="false" ht="24" hidden="false" customHeight="true" outlineLevel="0" collapsed="false">
      <c r="A14" s="20"/>
      <c r="B14" s="21" t="s">
        <v>12</v>
      </c>
      <c r="C14" s="21" t="s">
        <v>13</v>
      </c>
      <c r="D14" s="22" t="s">
        <v>14</v>
      </c>
      <c r="E14" s="22" t="s">
        <v>15</v>
      </c>
      <c r="F14" s="22" t="s">
        <v>16</v>
      </c>
    </row>
    <row r="15" customFormat="false" ht="19.5" hidden="false" customHeight="true" outlineLevel="0" collapsed="false">
      <c r="B15" s="23" t="s">
        <v>17</v>
      </c>
      <c r="C15" s="23" t="s">
        <v>18</v>
      </c>
      <c r="D15" s="24" t="n">
        <v>210</v>
      </c>
      <c r="E15" s="25" t="n">
        <v>3</v>
      </c>
      <c r="F15" s="24" t="n">
        <f aca="false">IF(ISBLANK(invoice[[#This Row],[Price]]),"",(IFERROR(invoice[[#This Row],[Price]]*invoice[[#This Row],[Quantity]],"0")))</f>
        <v>630</v>
      </c>
    </row>
    <row r="16" customFormat="false" ht="19.5" hidden="false" customHeight="true" outlineLevel="0" collapsed="false">
      <c r="B16" s="23" t="s">
        <v>19</v>
      </c>
      <c r="C16" s="23" t="s">
        <v>20</v>
      </c>
      <c r="D16" s="24" t="n">
        <v>95</v>
      </c>
      <c r="E16" s="25" t="n">
        <v>6</v>
      </c>
      <c r="F16" s="24" t="n">
        <f aca="false">IF(ISBLANK(invoice[[#This Row],[Price]]),"",(IFERROR(invoice[[#This Row],[Price]]*invoice[[#This Row],[Quantity]],"0")))</f>
        <v>570</v>
      </c>
    </row>
    <row r="17" customFormat="false" ht="19.5" hidden="false" customHeight="true" outlineLevel="0" collapsed="false">
      <c r="B17" s="23" t="s">
        <v>21</v>
      </c>
      <c r="C17" s="23" t="s">
        <v>22</v>
      </c>
      <c r="D17" s="24" t="n">
        <v>68</v>
      </c>
      <c r="E17" s="25" t="n">
        <v>8</v>
      </c>
      <c r="F17" s="24" t="n">
        <f aca="false">IF(ISBLANK(invoice[[#This Row],[Price]]),"",(IFERROR(invoice[[#This Row],[Price]]*invoice[[#This Row],[Quantity]],"0")))</f>
        <v>544</v>
      </c>
    </row>
    <row r="18" customFormat="false" ht="19.5" hidden="false" customHeight="true" outlineLevel="0" collapsed="false">
      <c r="B18" s="23" t="s">
        <v>23</v>
      </c>
      <c r="C18" s="23" t="s">
        <v>24</v>
      </c>
      <c r="D18" s="24" t="n">
        <v>54</v>
      </c>
      <c r="E18" s="25" t="n">
        <v>5</v>
      </c>
      <c r="F18" s="24" t="n">
        <f aca="false">IF(ISBLANK(invoice[[#This Row],[Price]]),"",(IFERROR(invoice[[#This Row],[Price]]*invoice[[#This Row],[Quantity]],"0")))</f>
        <v>270</v>
      </c>
    </row>
    <row r="19" customFormat="false" ht="19.5" hidden="false" customHeight="true" outlineLevel="0" collapsed="false">
      <c r="B19" s="23" t="s">
        <v>25</v>
      </c>
      <c r="C19" s="23" t="s">
        <v>26</v>
      </c>
      <c r="D19" s="24" t="n">
        <v>175</v>
      </c>
      <c r="E19" s="25" t="n">
        <v>4</v>
      </c>
      <c r="F19" s="24" t="n">
        <f aca="false">IF(ISBLANK(invoice[[#This Row],[Price]]),"",(IFERROR(invoice[[#This Row],[Price]]*invoice[[#This Row],[Quantity]],"0")))</f>
        <v>700</v>
      </c>
    </row>
    <row r="20" customFormat="false" ht="19.5" hidden="false" customHeight="true" outlineLevel="0" collapsed="false">
      <c r="B20" s="23"/>
      <c r="C20" s="23"/>
      <c r="D20" s="24"/>
      <c r="E20" s="25"/>
      <c r="F20" s="24" t="str">
        <f aca="false">IF(ISBLANK(invoice[[#This Row],[Price]]),"",(IFERROR(invoice[[#This Row],[Price]]*invoice[[#This Row],[Quantity]],"0")))</f>
        <v/>
      </c>
    </row>
    <row r="21" customFormat="false" ht="19.5" hidden="false" customHeight="true" outlineLevel="0" collapsed="false">
      <c r="B21" s="23"/>
      <c r="C21" s="23"/>
      <c r="D21" s="24"/>
      <c r="E21" s="25"/>
      <c r="F21" s="24" t="str">
        <f aca="false">IF(ISBLANK(invoice[[#This Row],[Price]]),"",(IFERROR(invoice[[#This Row],[Price]]*invoice[[#This Row],[Quantity]],"0")))</f>
        <v/>
      </c>
    </row>
    <row r="22" customFormat="false" ht="19.5" hidden="false" customHeight="true" outlineLevel="0" collapsed="false">
      <c r="B22" s="23"/>
      <c r="C22" s="23"/>
      <c r="D22" s="24"/>
      <c r="E22" s="25"/>
      <c r="F22" s="24" t="str">
        <f aca="false">IF(ISBLANK(invoice[[#This Row],[Price]]),"",(IFERROR(invoice[[#This Row],[Price]]*invoice[[#This Row],[Quantity]],"0")))</f>
        <v/>
      </c>
    </row>
    <row r="23" customFormat="false" ht="19.5" hidden="false" customHeight="true" outlineLevel="0" collapsed="false">
      <c r="B23" s="23"/>
      <c r="C23" s="23"/>
      <c r="D23" s="24"/>
      <c r="E23" s="25"/>
      <c r="F23" s="24" t="str">
        <f aca="false">IF(ISBLANK(invoice[[#This Row],[Price]]),"",(IFERROR(invoice[[#This Row],[Price]]*invoice[[#This Row],[Quantity]],"0")))</f>
        <v/>
      </c>
    </row>
    <row r="24" s="7" customFormat="true" ht="19.5" hidden="false" customHeight="true" outlineLevel="0" collapsed="false">
      <c r="A24" s="26"/>
      <c r="B24" s="27"/>
      <c r="C24" s="11"/>
      <c r="D24" s="28"/>
      <c r="E24" s="29"/>
      <c r="F24" s="28"/>
    </row>
    <row r="25" s="7" customFormat="true" ht="19.5" hidden="false" customHeight="true" outlineLevel="0" collapsed="false">
      <c r="A25" s="26"/>
      <c r="B25" s="11"/>
      <c r="C25" s="11"/>
      <c r="D25" s="11"/>
      <c r="E25" s="30" t="s">
        <v>27</v>
      </c>
      <c r="F25" s="31" t="n">
        <f aca="false">IFERROR(SUM(invoice[Total]),"0")</f>
        <v>2714</v>
      </c>
      <c r="K25" s="32"/>
    </row>
    <row r="26" s="7" customFormat="true" ht="19.5" hidden="false" customHeight="true" outlineLevel="0" collapsed="false">
      <c r="A26" s="26"/>
      <c r="B26" s="11"/>
      <c r="C26" s="33"/>
      <c r="D26" s="34"/>
      <c r="E26" s="35" t="s">
        <v>28</v>
      </c>
      <c r="F26" s="36" t="n">
        <v>0.14</v>
      </c>
      <c r="K26" s="32"/>
    </row>
    <row r="27" s="7" customFormat="true" ht="19.5" hidden="false" customHeight="true" outlineLevel="0" collapsed="false">
      <c r="A27" s="26"/>
      <c r="B27" s="11"/>
      <c r="C27" s="11"/>
      <c r="D27" s="11"/>
      <c r="E27" s="37" t="s">
        <v>29</v>
      </c>
      <c r="F27" s="38" t="n">
        <f aca="false">IFERROR(F25*F26+F25,"0")</f>
        <v>3093.96</v>
      </c>
    </row>
    <row r="28" s="7" customFormat="true" ht="19.5" hidden="false" customHeight="true" outlineLevel="0" collapsed="false">
      <c r="A28" s="26"/>
      <c r="B28" s="11"/>
      <c r="C28" s="11"/>
      <c r="D28" s="11"/>
      <c r="E28" s="33"/>
      <c r="F28" s="39"/>
    </row>
    <row r="29" s="7" customFormat="true" ht="19.5" hidden="false" customHeight="true" outlineLevel="0" collapsed="false">
      <c r="A29" s="26"/>
      <c r="B29" s="11"/>
      <c r="C29" s="11"/>
      <c r="D29" s="11"/>
      <c r="E29" s="34"/>
      <c r="F29" s="28"/>
    </row>
    <row r="30" s="7" customFormat="true" ht="19.5" hidden="false" customHeight="true" outlineLevel="0" collapsed="false">
      <c r="A30" s="26"/>
      <c r="B30" s="14" t="s">
        <v>30</v>
      </c>
      <c r="C30" s="11"/>
      <c r="D30" s="11"/>
      <c r="E30" s="14" t="s">
        <v>31</v>
      </c>
      <c r="F30" s="11"/>
    </row>
    <row r="31" customFormat="false" ht="19.5" hidden="false" customHeight="true" outlineLevel="0" collapsed="false">
      <c r="A31" s="40"/>
      <c r="B31" s="41" t="s">
        <v>32</v>
      </c>
      <c r="C31" s="33"/>
      <c r="D31" s="33"/>
      <c r="E31" s="41"/>
      <c r="F31" s="41"/>
    </row>
    <row r="32" customFormat="false" ht="19.5" hidden="false" customHeight="true" outlineLevel="0" collapsed="false">
      <c r="A32" s="40"/>
      <c r="B32" s="41" t="n">
        <v>719284</v>
      </c>
      <c r="C32" s="33"/>
      <c r="D32" s="33"/>
      <c r="E32" s="41"/>
      <c r="F32" s="41"/>
    </row>
    <row r="33" customFormat="false" ht="19.5" hidden="false" customHeight="true" outlineLevel="0" collapsed="false">
      <c r="A33" s="40"/>
      <c r="B33" s="11"/>
      <c r="C33" s="11"/>
      <c r="D33" s="11"/>
      <c r="E33" s="41"/>
      <c r="F33" s="41"/>
    </row>
    <row r="34" customFormat="false" ht="19.5" hidden="false" customHeight="true" outlineLevel="0" collapsed="false">
      <c r="A34" s="40"/>
      <c r="B34" s="12" t="s">
        <v>33</v>
      </c>
      <c r="C34" s="12"/>
      <c r="D34" s="11"/>
      <c r="E34" s="41"/>
      <c r="F34" s="41"/>
    </row>
    <row r="35" customFormat="false" ht="19.5" hidden="false" customHeight="true" outlineLevel="0" collapsed="false">
      <c r="A35" s="40"/>
      <c r="B35" s="13" t="s">
        <v>34</v>
      </c>
      <c r="C35" s="13"/>
      <c r="D35" s="11"/>
      <c r="E35" s="41"/>
      <c r="F35" s="41"/>
    </row>
    <row r="36" customFormat="false" ht="19.5" hidden="false" customHeight="true" outlineLevel="0" collapsed="false">
      <c r="A36" s="40"/>
      <c r="B36" s="13" t="s">
        <v>4</v>
      </c>
      <c r="C36" s="13"/>
      <c r="D36" s="11"/>
      <c r="E36" s="41"/>
      <c r="F36" s="41"/>
    </row>
    <row r="37" customFormat="false" ht="19.5" hidden="false" customHeight="true" outlineLevel="0" collapsed="false">
      <c r="A37" s="40"/>
      <c r="B37" s="16" t="s">
        <v>35</v>
      </c>
      <c r="C37" s="16"/>
      <c r="D37" s="11"/>
      <c r="E37" s="42"/>
      <c r="F37" s="42"/>
    </row>
    <row r="38" customFormat="false" ht="19.5" hidden="false" customHeight="true" outlineLevel="0" collapsed="false">
      <c r="A38" s="40"/>
      <c r="B38" s="13" t="n">
        <v>100440229817</v>
      </c>
      <c r="C38" s="13"/>
      <c r="D38" s="11"/>
      <c r="E38" s="43" t="s">
        <v>36</v>
      </c>
      <c r="F38" s="43"/>
    </row>
    <row r="39" s="7" customFormat="true" ht="19.5" hidden="false" customHeight="true" outlineLevel="0" collapsed="false">
      <c r="A39" s="40"/>
      <c r="B39" s="11"/>
      <c r="C39" s="11"/>
      <c r="D39" s="11"/>
      <c r="E39" s="11"/>
      <c r="F39" s="11"/>
      <c r="G39" s="19"/>
    </row>
    <row r="40" customFormat="false" ht="19.5" hidden="false" customHeight="true" outlineLevel="0" collapsed="false">
      <c r="A40" s="40"/>
      <c r="B40" s="11"/>
      <c r="C40" s="11"/>
      <c r="D40" s="11"/>
      <c r="E40" s="11"/>
      <c r="F40" s="11"/>
    </row>
    <row r="41" customFormat="false" ht="24" hidden="false" customHeight="true" outlineLevel="0" collapsed="false">
      <c r="A41" s="26"/>
      <c r="B41" s="9"/>
      <c r="C41" s="9"/>
      <c r="D41" s="9"/>
      <c r="E41" s="9"/>
      <c r="F41" s="9"/>
    </row>
  </sheetData>
  <mergeCells count="12">
    <mergeCell ref="B2:D4"/>
    <mergeCell ref="B7:C7"/>
    <mergeCell ref="B8:C8"/>
    <mergeCell ref="B9:C9"/>
    <mergeCell ref="B10:C10"/>
    <mergeCell ref="B11:C11"/>
    <mergeCell ref="B34:C34"/>
    <mergeCell ref="B35:C35"/>
    <mergeCell ref="B36:C36"/>
    <mergeCell ref="B37:C37"/>
    <mergeCell ref="B38:C38"/>
    <mergeCell ref="E38:F38"/>
  </mergeCells>
  <dataValidations count="6">
    <dataValidation allowBlank="true" errorStyle="stop" operator="between" prompt="Create an Invoice in this worksheet. Helpful instructions on how to use this worksheet are in cells in this column. Arrow down to get started." showDropDown="false" showErrorMessage="true" showInputMessage="true" sqref="A1" type="none">
      <formula1>0</formula1>
      <formula2>0</formula2>
    </dataValidation>
    <dataValidation allowBlank="true" errorStyle="stop" operator="between" prompt="Enter Bill To details such as Company Name, Address, Phone and Email into cells from B8 to B11.&#10;&#10;Enter Invoice Number, Invoice Date and Due Date into cells from F8 to F11." showDropDown="false" showErrorMessage="true" showInputMessage="true" sqref="A7" type="none">
      <formula1>0</formula1>
      <formula2>0</formula2>
    </dataValidation>
    <dataValidation allowBlank="true" errorStyle="stop" operator="between" prompt="Enter Signature into cells from E37 to F37." showDropDown="false" showErrorMessage="true" showInputMessage="true" sqref="A37" type="none">
      <formula1>0</formula1>
      <formula2>0</formula2>
    </dataValidation>
    <dataValidation allowBlank="true" errorStyle="stop" operator="between" prompt="Enter Contact Info such as Company Name, Address, Phone and Email into cells from B35 to B38." showDropDown="false" showErrorMessage="true" showInputMessage="true" sqref="A34" type="none">
      <formula1>0</formula1>
      <formula2>0</formula2>
    </dataValidation>
    <dataValidation allowBlank="true" errorStyle="stop" operator="between" prompt="Enter Payment Method such as Bank Name, Bank Account into cells from B31 to B32.&#10;&#10;Enter Terms &amp; Conditions into the cells starting from E31." showDropDown="false" showErrorMessage="true" showInputMessage="true" sqref="A30" type="none">
      <formula1>0</formula1>
      <formula2>0</formula2>
    </dataValidation>
    <dataValidation allowBlank="true" errorStyle="stop" operator="between" prompt="Enter information in the Invoice Details table, starting from cell B15. Subtotal and Total Due are automatically calculated." showDropDown="false" showErrorMessage="true" showInputMessage="true" sqref="A14" type="none">
      <formula1>0</formula1>
      <formula2>0</formula2>
    </dataValidation>
  </dataValidations>
  <hyperlinks>
    <hyperlink ref="B10" r:id="rId1" display="y.hamdy@marinaimports.eg"/>
    <hyperlink ref="B37" r:id="rId2" display="sales@marinaimports.eg"/>
  </hyperlinks>
  <printOptions headings="false" gridLines="false" gridLinesSet="true" horizontalCentered="true" verticalCentered="tru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2026-09-07T08:27:01Z</dcterms:created>
  <dc:creator/>
  <dc:description/>
  <dc:language>en-US</dc:language>
  <cp:lastModifiedBy/>
  <dcterms:modified xsi:type="dcterms:W3CDTF">2026-09-07T08:50:10Z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