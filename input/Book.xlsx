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0" documentId="8_{2727DFD5-AE1B-4986-81EA-2AC3F2FF5726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Invoice" sheetId="1" r:id="rId1"/>
  </sheets>
  <definedNames>
    <definedName name="_xlnm.Print_Area" localSheetId="0">Invoice!$A$1:$G$41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1" l="1"/>
  <c r="F15" i="1"/>
  <c r="F16" i="1"/>
  <c r="F17" i="1"/>
  <c r="F18" i="1"/>
  <c r="F19" i="1"/>
  <c r="F20" i="1"/>
  <c r="F21" i="1"/>
  <c r="F22" i="1"/>
  <c r="F23" i="1"/>
  <c r="F25" i="1" l="1"/>
  <c r="F27" i="1" s="1"/>
</calcChain>
</file>

<file path=xl/sharedStrings.xml><?xml version="1.0" encoding="utf-8"?>
<sst xmlns="http://schemas.openxmlformats.org/spreadsheetml/2006/main" count="39" uniqueCount="38">
  <si>
    <t>INVOICE</t>
  </si>
  <si>
    <t>Bill To:</t>
  </si>
  <si>
    <t>Abdelrahman Ezz</t>
  </si>
  <si>
    <t>Invoice #:</t>
  </si>
  <si>
    <t>Cairo, 0000</t>
  </si>
  <si>
    <t>PO #:</t>
  </si>
  <si>
    <t>abdelrahmanezz@jse.eg</t>
  </si>
  <si>
    <t>Invoice Date:</t>
  </si>
  <si>
    <t>Tax Registration #</t>
  </si>
  <si>
    <t>150/227/611</t>
  </si>
  <si>
    <t>Tax File #</t>
  </si>
  <si>
    <t>06/10352/01200/5</t>
  </si>
  <si>
    <t>Commercial Registration #</t>
  </si>
  <si>
    <t>Item Name</t>
  </si>
  <si>
    <t>Description</t>
  </si>
  <si>
    <t>Price</t>
  </si>
  <si>
    <t>Quantity</t>
  </si>
  <si>
    <t>Total</t>
  </si>
  <si>
    <t>Item Name 1</t>
  </si>
  <si>
    <t>Description 1</t>
  </si>
  <si>
    <t>Item Name 2</t>
  </si>
  <si>
    <t>Description 2</t>
  </si>
  <si>
    <t>Item Name 3</t>
  </si>
  <si>
    <t>Description 3</t>
  </si>
  <si>
    <t>Item Name 4</t>
  </si>
  <si>
    <t>Description 4</t>
  </si>
  <si>
    <t>Item Name 5</t>
  </si>
  <si>
    <t>Description 5</t>
  </si>
  <si>
    <t>Subtotal:</t>
  </si>
  <si>
    <t>Tax:</t>
  </si>
  <si>
    <t>Total:</t>
  </si>
  <si>
    <t>Payment Methods:</t>
  </si>
  <si>
    <t>Terms &amp; Conditions:</t>
  </si>
  <si>
    <t>NBE / Bank acc</t>
  </si>
  <si>
    <t>Contact Info:</t>
  </si>
  <si>
    <t>Abo Taleb for Trading Steel, Gates, and Building Materials</t>
  </si>
  <si>
    <t>finance@abotaleb.eg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</si>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</sst>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$&quot;#,##0.00_);\(&quot;$&quot;#,##0.00\)"/>
    <numFmt numFmtId="164" formatCode="&quot;$&quot;#,##0.00"/>
  </numFmts>
  <fonts count="15">
    <font>
      <sz val="11"/>
      <color theme="1"/>
      <name val="Georgia"/>
      <charset val="134"/>
      <scheme val="minor"/>
    </font>
    <font>
      <sz val="12"/>
      <color indexed="8"/>
      <name val="Georgia"/>
      <family val="2"/>
      <scheme val="minor"/>
    </font>
    <font>
      <sz val="11"/>
      <color theme="1"/>
      <name val="Georgia"/>
      <family val="2"/>
      <scheme val="minor"/>
    </font>
    <font>
      <sz val="12"/>
      <color theme="1"/>
      <name val="Georgia"/>
      <family val="2"/>
      <scheme val="minor"/>
    </font>
    <font>
      <sz val="9"/>
      <name val="Georgia"/>
      <family val="3"/>
      <charset val="134"/>
      <scheme val="minor"/>
    </font>
    <font>
      <sz val="12"/>
      <color indexed="8"/>
      <name val="Corbel"/>
      <family val="2"/>
      <scheme val="major"/>
    </font>
    <font>
      <b/>
      <sz val="12"/>
      <color theme="1"/>
      <name val="Georgia"/>
      <family val="2"/>
      <scheme val="minor"/>
    </font>
    <font>
      <sz val="12"/>
      <color theme="1"/>
      <name val="DengXian"/>
      <family val="1"/>
    </font>
    <font>
      <sz val="11"/>
      <color theme="1"/>
      <name val="DengXian"/>
      <family val="4"/>
      <charset val="134"/>
    </font>
    <font>
      <b/>
      <sz val="13"/>
      <color theme="1"/>
      <name val="Georgia"/>
      <family val="2"/>
      <scheme val="minor"/>
    </font>
    <font>
      <sz val="13"/>
      <color theme="1"/>
      <name val="Georgia"/>
      <family val="2"/>
      <scheme val="minor"/>
    </font>
    <font>
      <sz val="12"/>
      <color theme="9" tint="0.79995117038483843"/>
      <name val="Georgia"/>
      <family val="2"/>
      <scheme val="minor"/>
    </font>
    <font>
      <b/>
      <sz val="60"/>
      <color theme="1"/>
      <name val="Corbel"/>
      <family val="2"/>
      <scheme val="major"/>
    </font>
    <font>
      <u/>
      <sz val="11"/>
      <color theme="10"/>
      <name val="Georgia"/>
      <charset val="134"/>
      <scheme val="minor"/>
    </font>
    <font>
      <b/>
      <sz val="12"/>
      <color rgb="FF000000"/>
      <name val="Georgia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3" fillId="2" borderId="0" xfId="0" applyFont="1" applyFill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right" vertical="center" indent="1"/>
    </xf>
    <xf numFmtId="14" fontId="3" fillId="2" borderId="0" xfId="0" applyNumberFormat="1" applyFont="1" applyFill="1" applyAlignment="1">
      <alignment horizontal="right" vertical="center" indent="1"/>
    </xf>
    <xf numFmtId="0" fontId="7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>
      <alignment vertical="center"/>
    </xf>
    <xf numFmtId="1" fontId="3" fillId="2" borderId="0" xfId="0" applyNumberFormat="1" applyFont="1" applyFill="1" applyAlignment="1">
      <alignment horizontal="center" vertical="center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horizontal="right" vertical="center"/>
    </xf>
    <xf numFmtId="7" fontId="6" fillId="2" borderId="0" xfId="0" applyNumberFormat="1" applyFont="1" applyFill="1">
      <alignment vertical="center"/>
    </xf>
    <xf numFmtId="0" fontId="8" fillId="0" borderId="0" xfId="0" applyFont="1">
      <alignment vertical="center"/>
    </xf>
    <xf numFmtId="164" fontId="6" fillId="3" borderId="8" xfId="0" applyNumberFormat="1" applyFont="1" applyFill="1" applyBorder="1" applyAlignment="1">
      <alignment horizontal="right" vertical="center" indent="1"/>
    </xf>
    <xf numFmtId="0" fontId="7" fillId="0" borderId="0" xfId="0" applyFont="1" applyAlignment="1">
      <alignment horizontal="center" vertical="center"/>
    </xf>
    <xf numFmtId="0" fontId="1" fillId="5" borderId="0" xfId="0" applyFont="1" applyFill="1">
      <alignment vertical="center"/>
    </xf>
    <xf numFmtId="0" fontId="3" fillId="0" borderId="0" xfId="0" applyFont="1" applyAlignment="1">
      <alignment horizontal="left" vertical="center" indent="1"/>
    </xf>
    <xf numFmtId="164" fontId="3" fillId="0" borderId="0" xfId="0" applyNumberFormat="1" applyFont="1" applyAlignment="1">
      <alignment horizontal="right" vertical="center" indent="1"/>
    </xf>
    <xf numFmtId="0" fontId="3" fillId="0" borderId="0" xfId="0" applyFont="1" applyAlignment="1">
      <alignment horizontal="right" vertical="center" indent="1"/>
    </xf>
    <xf numFmtId="0" fontId="9" fillId="2" borderId="0" xfId="0" applyFont="1" applyFill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right" vertical="center" indent="1"/>
    </xf>
    <xf numFmtId="0" fontId="9" fillId="3" borderId="7" xfId="0" applyFont="1" applyFill="1" applyBorder="1" applyAlignment="1">
      <alignment horizontal="left" vertical="center" indent="1"/>
    </xf>
    <xf numFmtId="0" fontId="6" fillId="3" borderId="0" xfId="0" applyFont="1" applyFill="1">
      <alignment vertical="center"/>
    </xf>
    <xf numFmtId="0" fontId="10" fillId="4" borderId="3" xfId="0" applyFont="1" applyFill="1" applyBorder="1" applyAlignment="1">
      <alignment horizontal="left" vertical="center" indent="1"/>
    </xf>
    <xf numFmtId="164" fontId="3" fillId="4" borderId="4" xfId="0" applyNumberFormat="1" applyFont="1" applyFill="1" applyBorder="1" applyAlignment="1">
      <alignment horizontal="right" vertical="center" indent="1"/>
    </xf>
    <xf numFmtId="0" fontId="10" fillId="2" borderId="5" xfId="0" applyFont="1" applyFill="1" applyBorder="1" applyAlignment="1">
      <alignment horizontal="left" vertical="center" indent="1"/>
    </xf>
    <xf numFmtId="10" fontId="3" fillId="2" borderId="6" xfId="1" applyNumberFormat="1" applyFont="1" applyFill="1" applyBorder="1" applyAlignment="1">
      <alignment horizontal="right" vertical="center" indent="1"/>
    </xf>
    <xf numFmtId="0" fontId="3" fillId="3" borderId="0" xfId="0" applyFont="1" applyFill="1">
      <alignment vertical="center"/>
    </xf>
    <xf numFmtId="0" fontId="11" fillId="3" borderId="0" xfId="0" applyFont="1" applyFill="1">
      <alignment vertical="center"/>
    </xf>
    <xf numFmtId="0" fontId="9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12" fillId="3" borderId="0" xfId="0" applyFont="1" applyFill="1" applyAlignment="1">
      <alignment horizontal="left" vertical="center" indent="1"/>
    </xf>
    <xf numFmtId="0" fontId="9" fillId="2" borderId="1" xfId="0" applyFont="1" applyFill="1" applyBorder="1" applyAlignment="1">
      <alignment horizontal="center" vertical="center"/>
    </xf>
    <xf numFmtId="0" fontId="13" fillId="2" borderId="0" xfId="2" applyFill="1" applyAlignment="1">
      <alignment horizontal="left" vertical="center" indent="1"/>
    </xf>
    <xf numFmtId="0" fontId="14" fillId="2" borderId="0" xfId="0" applyFont="1" applyFill="1">
      <alignment vertical="center"/>
    </xf>
  </cellXfs>
  <cellStyles count="3">
    <cellStyle name="Hyperlink" xfId="2" builtinId="8"/>
    <cellStyle name="Normal" xfId="0" builtinId="0"/>
    <cellStyle name="Percent" xfId="1" builtinId="5"/>
  </cellStyles>
  <dxfs count="15"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Georgia"/>
        <family val="2"/>
        <scheme val="minor"/>
      </font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i val="0"/>
        <color theme="1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horizontal style="thin">
          <color theme="7" tint="0.39997558519241921"/>
        </horizontal>
      </border>
    </dxf>
  </dxfs>
  <tableStyles count="1" defaultTableStyle="TableStyleMedium5 2" defaultPivotStyle="PivotStyleLight16">
    <tableStyle name="TableStyleMedium5 2" pivot="0" count="8" xr9:uid="{0A6B9D32-8F6B-4BA9-B4F3-5D59395D22ED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690064-AF6A-4467-B7B7-FACDF5218AAC}" name="invoice" displayName="invoice" ref="B14:F23" totalsRowShown="0" headerRowDxfId="6" dataDxfId="5">
  <autoFilter ref="B14:F23" xr:uid="{36690064-AF6A-4467-B7B7-FACDF5218A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9C59846-38F1-4ADA-8162-57D4E2DFA16A}" name="Item Name" dataDxfId="4"/>
    <tableColumn id="2" xr3:uid="{BD9016B5-5D48-4A43-9B9E-C0FFF4644BF2}" name="Description" dataDxfId="3"/>
    <tableColumn id="3" xr3:uid="{7B5EED54-71FD-48A9-8050-038E54107E26}" name="Price" dataDxfId="2"/>
    <tableColumn id="4" xr3:uid="{4FC61634-9988-44B6-975C-543C53C772C5}" name="Quantity" dataDxfId="1"/>
    <tableColumn id="5" xr3:uid="{A98607A5-FB1C-419B-947C-C78DF5C9A0FC}" name="Total" dataDxfId="0">
      <calculatedColumnFormula>IF(ISBLANK(invoice[[#This Row],[Price]]),"",(IFERROR(invoice[[#This Row],[Price]]*invoice[[#This Row],[Quantity]],"0")))</calculatedColumnFormula>
    </tableColumn>
  </tableColumns>
  <tableStyleInfo name="TableStyleMedium5 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Custom 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EDB61"/>
      </a:accent1>
      <a:accent2>
        <a:srgbClr val="EE822F"/>
      </a:accent2>
      <a:accent3>
        <a:srgbClr val="4874CB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Custom 1">
      <a:majorFont>
        <a:latin typeface="Corbel"/>
        <a:ea typeface=""/>
        <a:cs typeface=""/>
      </a:majorFont>
      <a:minorFont>
        <a:latin typeface="Georgia"/>
        <a:ea typeface="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inance@abotaleb.eg" TargetMode="External"/><Relationship Id="rId1" Type="http://schemas.openxmlformats.org/officeDocument/2006/relationships/hyperlink" Target="mailto:abdelrahmanezz@jse.eg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K41"/>
  <sheetViews>
    <sheetView tabSelected="1" zoomScaleNormal="100" workbookViewId="0">
      <selection activeCell="E8" sqref="E8"/>
    </sheetView>
  </sheetViews>
  <sheetFormatPr defaultColWidth="8.75" defaultRowHeight="14.25"/>
  <cols>
    <col min="1" max="1" width="2.625" customWidth="1"/>
    <col min="2" max="3" width="19.625" customWidth="1"/>
    <col min="4" max="6" width="17.625" customWidth="1"/>
    <col min="7" max="7" width="2.625" customWidth="1"/>
  </cols>
  <sheetData>
    <row r="1" spans="1:6" ht="24" customHeight="1">
      <c r="A1" s="5"/>
      <c r="B1" s="34"/>
      <c r="C1" s="34"/>
      <c r="D1" s="35"/>
      <c r="E1" s="21"/>
      <c r="F1" s="21"/>
    </row>
    <row r="2" spans="1:6" s="1" customFormat="1" ht="20.100000000000001" customHeight="1">
      <c r="A2" s="5"/>
      <c r="B2" s="38" t="s">
        <v>0</v>
      </c>
      <c r="C2" s="38"/>
      <c r="D2" s="38"/>
      <c r="E2" s="34"/>
      <c r="F2" s="34"/>
    </row>
    <row r="3" spans="1:6" s="1" customFormat="1" ht="30" customHeight="1">
      <c r="A3" s="6"/>
      <c r="B3" s="38"/>
      <c r="C3" s="38"/>
      <c r="D3" s="38"/>
      <c r="E3" s="29"/>
      <c r="F3" s="29"/>
    </row>
    <row r="4" spans="1:6" s="1" customFormat="1" ht="20.100000000000001" customHeight="1">
      <c r="A4" s="6"/>
      <c r="B4" s="38"/>
      <c r="C4" s="38"/>
      <c r="D4" s="38"/>
      <c r="E4" s="29"/>
      <c r="F4" s="29"/>
    </row>
    <row r="5" spans="1:6" s="1" customFormat="1" ht="24" customHeight="1">
      <c r="B5" s="7"/>
      <c r="C5" s="7"/>
      <c r="D5" s="7"/>
      <c r="E5" s="7"/>
      <c r="F5" s="7"/>
    </row>
    <row r="6" spans="1:6" s="1" customFormat="1" ht="20.100000000000001" customHeight="1">
      <c r="A6" s="6"/>
      <c r="B6" s="8"/>
      <c r="C6" s="8"/>
      <c r="D6" s="8"/>
      <c r="E6" s="8"/>
      <c r="F6" s="8"/>
    </row>
    <row r="7" spans="1:6" s="1" customFormat="1" ht="20.100000000000001" customHeight="1">
      <c r="A7" s="6"/>
      <c r="B7" s="36" t="s">
        <v>1</v>
      </c>
      <c r="C7" s="36"/>
      <c r="D7" s="8"/>
      <c r="E7" s="8"/>
      <c r="F7" s="8"/>
    </row>
    <row r="8" spans="1:6" s="1" customFormat="1" ht="20.100000000000001" customHeight="1">
      <c r="A8" s="6"/>
      <c r="B8" s="37" t="s">
        <v>2</v>
      </c>
      <c r="C8" s="37"/>
      <c r="D8" s="8"/>
      <c r="E8" s="25" t="s">
        <v>3</v>
      </c>
      <c r="F8" s="9">
        <v>123456789</v>
      </c>
    </row>
    <row r="9" spans="1:6" s="1" customFormat="1" ht="20.100000000000001" customHeight="1">
      <c r="A9" s="6"/>
      <c r="B9" s="37" t="s">
        <v>4</v>
      </c>
      <c r="C9" s="37"/>
      <c r="D9" s="8"/>
      <c r="E9" s="25" t="s">
        <v>5</v>
      </c>
      <c r="F9" s="9">
        <v>123123123</v>
      </c>
    </row>
    <row r="10" spans="1:6" s="1" customFormat="1" ht="20.100000000000001" customHeight="1">
      <c r="A10" s="6"/>
      <c r="B10" s="40" t="s">
        <v>6</v>
      </c>
      <c r="C10" s="40"/>
      <c r="D10" s="8"/>
      <c r="E10" s="25" t="s">
        <v>7</v>
      </c>
      <c r="F10" s="10">
        <f ca="1">TODAY()</f>
        <v>46272</v>
      </c>
    </row>
    <row r="11" spans="1:6" s="1" customFormat="1" ht="20.100000000000001" customHeight="1">
      <c r="A11" s="6"/>
      <c r="B11" s="37">
        <v>10237492729</v>
      </c>
      <c r="C11" s="37"/>
      <c r="E11" s="41" t="s">
        <v>8</v>
      </c>
      <c r="F11" s="10" t="s">
        <v>9</v>
      </c>
    </row>
    <row r="12" spans="1:6" s="1" customFormat="1" ht="20.100000000000001" customHeight="1">
      <c r="A12"/>
      <c r="B12" s="8"/>
      <c r="C12" s="8"/>
      <c r="D12" s="8"/>
      <c r="E12" s="41" t="s">
        <v>10</v>
      </c>
      <c r="F12" s="8" t="s">
        <v>11</v>
      </c>
    </row>
    <row r="13" spans="1:6" s="1" customFormat="1" ht="20.100000000000001" customHeight="1">
      <c r="A13"/>
      <c r="B13" s="8"/>
      <c r="C13" s="8"/>
      <c r="D13" s="8"/>
      <c r="E13" s="41" t="s">
        <v>12</v>
      </c>
      <c r="F13" s="8">
        <v>164084</v>
      </c>
    </row>
    <row r="14" spans="1:6" ht="24" customHeight="1">
      <c r="A14" s="20"/>
      <c r="B14" s="26" t="s">
        <v>13</v>
      </c>
      <c r="C14" s="26" t="s">
        <v>14</v>
      </c>
      <c r="D14" s="27" t="s">
        <v>15</v>
      </c>
      <c r="E14" s="27" t="s">
        <v>16</v>
      </c>
      <c r="F14" s="27" t="s">
        <v>17</v>
      </c>
    </row>
    <row r="15" spans="1:6" ht="20.100000000000001" customHeight="1">
      <c r="B15" s="22" t="s">
        <v>18</v>
      </c>
      <c r="C15" s="22" t="s">
        <v>19</v>
      </c>
      <c r="D15" s="23">
        <v>50</v>
      </c>
      <c r="E15" s="24">
        <v>14</v>
      </c>
      <c r="F15" s="23">
        <f>IF(ISBLANK(invoice[[#This Row],[Price]]),"",(IFERROR(invoice[[#This Row],[Price]]*invoice[[#This Row],[Quantity]],"0")))</f>
        <v>700</v>
      </c>
    </row>
    <row r="16" spans="1:6" ht="20.100000000000001" customHeight="1">
      <c r="B16" s="22" t="s">
        <v>20</v>
      </c>
      <c r="C16" s="22" t="s">
        <v>21</v>
      </c>
      <c r="D16" s="23">
        <v>56</v>
      </c>
      <c r="E16" s="24">
        <v>15</v>
      </c>
      <c r="F16" s="23">
        <f>IF(ISBLANK(invoice[[#This Row],[Price]]),"",(IFERROR(invoice[[#This Row],[Price]]*invoice[[#This Row],[Quantity]],"0")))</f>
        <v>840</v>
      </c>
    </row>
    <row r="17" spans="1:11" ht="20.100000000000001" customHeight="1">
      <c r="B17" s="22" t="s">
        <v>22</v>
      </c>
      <c r="C17" s="22" t="s">
        <v>23</v>
      </c>
      <c r="D17" s="23">
        <v>78</v>
      </c>
      <c r="E17" s="24">
        <v>11</v>
      </c>
      <c r="F17" s="23">
        <f>IF(ISBLANK(invoice[[#This Row],[Price]]),"",(IFERROR(invoice[[#This Row],[Price]]*invoice[[#This Row],[Quantity]],"0")))</f>
        <v>858</v>
      </c>
    </row>
    <row r="18" spans="1:11" ht="20.100000000000001" customHeight="1">
      <c r="B18" s="22" t="s">
        <v>24</v>
      </c>
      <c r="C18" s="22" t="s">
        <v>25</v>
      </c>
      <c r="D18" s="23">
        <v>64</v>
      </c>
      <c r="E18" s="24">
        <v>12</v>
      </c>
      <c r="F18" s="23">
        <f>IF(ISBLANK(invoice[[#This Row],[Price]]),"",(IFERROR(invoice[[#This Row],[Price]]*invoice[[#This Row],[Quantity]],"0")))</f>
        <v>768</v>
      </c>
    </row>
    <row r="19" spans="1:11" ht="20.100000000000001" customHeight="1">
      <c r="B19" s="22" t="s">
        <v>26</v>
      </c>
      <c r="C19" s="22" t="s">
        <v>27</v>
      </c>
      <c r="D19" s="23">
        <v>55</v>
      </c>
      <c r="E19" s="24">
        <v>13</v>
      </c>
      <c r="F19" s="23">
        <f>IF(ISBLANK(invoice[[#This Row],[Price]]),"",(IFERROR(invoice[[#This Row],[Price]]*invoice[[#This Row],[Quantity]],"0")))</f>
        <v>715</v>
      </c>
    </row>
    <row r="20" spans="1:11" ht="20.100000000000001" customHeight="1">
      <c r="B20" s="22"/>
      <c r="C20" s="22"/>
      <c r="D20" s="23"/>
      <c r="E20" s="24"/>
      <c r="F20" s="23" t="str">
        <f>IF(ISBLANK(invoice[[#This Row],[Price]]),"",(IFERROR(invoice[[#This Row],[Price]]*invoice[[#This Row],[Quantity]],"0")))</f>
        <v/>
      </c>
    </row>
    <row r="21" spans="1:11" ht="20.100000000000001" customHeight="1">
      <c r="B21" s="22"/>
      <c r="C21" s="22"/>
      <c r="D21" s="23"/>
      <c r="E21" s="24"/>
      <c r="F21" s="23" t="str">
        <f>IF(ISBLANK(invoice[[#This Row],[Price]]),"",(IFERROR(invoice[[#This Row],[Price]]*invoice[[#This Row],[Quantity]],"0")))</f>
        <v/>
      </c>
    </row>
    <row r="22" spans="1:11" ht="20.100000000000001" customHeight="1">
      <c r="B22" s="22"/>
      <c r="C22" s="22"/>
      <c r="D22" s="23"/>
      <c r="E22" s="24"/>
      <c r="F22" s="23" t="str">
        <f>IF(ISBLANK(invoice[[#This Row],[Price]]),"",(IFERROR(invoice[[#This Row],[Price]]*invoice[[#This Row],[Quantity]],"0")))</f>
        <v/>
      </c>
    </row>
    <row r="23" spans="1:11" ht="20.100000000000001" customHeight="1">
      <c r="B23" s="22"/>
      <c r="C23" s="22"/>
      <c r="D23" s="23"/>
      <c r="E23" s="24"/>
      <c r="F23" s="23" t="str">
        <f>IF(ISBLANK(invoice[[#This Row],[Price]]),"",(IFERROR(invoice[[#This Row],[Price]]*invoice[[#This Row],[Quantity]],"0")))</f>
        <v/>
      </c>
    </row>
    <row r="24" spans="1:11" s="1" customFormat="1" ht="20.100000000000001" customHeight="1">
      <c r="A24" s="11"/>
      <c r="B24" s="12"/>
      <c r="C24" s="8"/>
      <c r="D24" s="13"/>
      <c r="E24" s="14"/>
      <c r="F24" s="13"/>
    </row>
    <row r="25" spans="1:11" s="1" customFormat="1" ht="20.100000000000001" customHeight="1">
      <c r="A25" s="11"/>
      <c r="B25" s="8"/>
      <c r="C25" s="8"/>
      <c r="D25" s="8"/>
      <c r="E25" s="30" t="s">
        <v>28</v>
      </c>
      <c r="F25" s="31">
        <f>IFERROR(SUM(invoice[Total]),"0")</f>
        <v>3881</v>
      </c>
      <c r="K25" s="2"/>
    </row>
    <row r="26" spans="1:11" s="1" customFormat="1" ht="20.100000000000001" customHeight="1">
      <c r="A26" s="11"/>
      <c r="B26" s="8"/>
      <c r="C26" s="15"/>
      <c r="D26" s="16"/>
      <c r="E26" s="32" t="s">
        <v>29</v>
      </c>
      <c r="F26" s="33">
        <v>0.05</v>
      </c>
      <c r="K26" s="2"/>
    </row>
    <row r="27" spans="1:11" s="1" customFormat="1" ht="20.100000000000001" customHeight="1">
      <c r="A27" s="11"/>
      <c r="B27" s="8"/>
      <c r="C27" s="8"/>
      <c r="D27" s="8"/>
      <c r="E27" s="28" t="s">
        <v>30</v>
      </c>
      <c r="F27" s="19">
        <f>IFERROR(F25*F26+F25,"0")</f>
        <v>4075.05</v>
      </c>
    </row>
    <row r="28" spans="1:11" s="1" customFormat="1" ht="20.100000000000001" customHeight="1">
      <c r="A28" s="11"/>
      <c r="B28" s="8"/>
      <c r="C28" s="8"/>
      <c r="D28" s="8"/>
      <c r="E28" s="15"/>
      <c r="F28" s="17"/>
    </row>
    <row r="29" spans="1:11" s="1" customFormat="1" ht="20.100000000000001" customHeight="1">
      <c r="A29" s="11"/>
      <c r="B29" s="8"/>
      <c r="C29" s="8"/>
      <c r="D29" s="8"/>
      <c r="E29" s="16"/>
      <c r="F29" s="13"/>
    </row>
    <row r="30" spans="1:11" s="1" customFormat="1" ht="20.100000000000001" customHeight="1">
      <c r="A30" s="11"/>
      <c r="B30" s="25" t="s">
        <v>31</v>
      </c>
      <c r="C30" s="8"/>
      <c r="D30" s="8"/>
      <c r="E30" s="25" t="s">
        <v>32</v>
      </c>
      <c r="F30" s="8"/>
    </row>
    <row r="31" spans="1:11" ht="20.100000000000001" customHeight="1">
      <c r="A31" s="18"/>
      <c r="B31" s="3" t="s">
        <v>33</v>
      </c>
      <c r="C31" s="15"/>
      <c r="D31" s="15"/>
      <c r="E31" s="3"/>
      <c r="F31" s="3"/>
    </row>
    <row r="32" spans="1:11" ht="20.100000000000001" customHeight="1">
      <c r="A32" s="18"/>
      <c r="B32" s="3">
        <v>283292</v>
      </c>
      <c r="C32" s="15"/>
      <c r="D32" s="15"/>
      <c r="E32" s="3"/>
      <c r="F32" s="3"/>
    </row>
    <row r="33" spans="1:7" ht="20.100000000000001" customHeight="1">
      <c r="A33" s="18"/>
      <c r="B33" s="8"/>
      <c r="C33" s="8"/>
      <c r="D33" s="8"/>
      <c r="E33" s="3"/>
      <c r="F33" s="3"/>
    </row>
    <row r="34" spans="1:7" ht="20.100000000000001" customHeight="1">
      <c r="A34" s="18"/>
      <c r="B34" s="36" t="s">
        <v>34</v>
      </c>
      <c r="C34" s="36"/>
      <c r="D34" s="8"/>
      <c r="E34" s="3"/>
      <c r="F34" s="3"/>
    </row>
    <row r="35" spans="1:7" ht="20.100000000000001" customHeight="1">
      <c r="A35" s="18"/>
      <c r="B35" s="37" t="s">
        <v>35</v>
      </c>
      <c r="C35" s="37"/>
      <c r="D35" s="8"/>
      <c r="E35" s="3"/>
      <c r="F35" s="3"/>
    </row>
    <row r="36" spans="1:7" ht="20.100000000000001" customHeight="1">
      <c r="A36" s="18"/>
      <c r="B36" s="37" t="s">
        <v>4</v>
      </c>
      <c r="C36" s="37"/>
      <c r="D36" s="8"/>
      <c r="E36" s="3"/>
      <c r="F36" s="3"/>
    </row>
    <row r="37" spans="1:7" ht="20.100000000000001" customHeight="1">
      <c r="A37" s="18"/>
      <c r="B37" s="40" t="s">
        <v>36</v>
      </c>
      <c r="C37" s="40"/>
      <c r="D37" s="8"/>
      <c r="E37" s="4"/>
      <c r="F37" s="4"/>
    </row>
    <row r="38" spans="1:7" ht="20.100000000000001" customHeight="1">
      <c r="A38" s="18"/>
      <c r="B38" s="37">
        <v>102038420</v>
      </c>
      <c r="C38" s="37"/>
      <c r="D38" s="8"/>
      <c r="E38" s="39" t="s">
        <v>37</v>
      </c>
      <c r="F38" s="39"/>
    </row>
    <row r="39" spans="1:7" s="1" customFormat="1" ht="20.100000000000001" customHeight="1">
      <c r="A39" s="18"/>
      <c r="B39" s="8"/>
      <c r="C39" s="8"/>
      <c r="D39" s="8"/>
      <c r="E39" s="8"/>
      <c r="F39" s="8"/>
      <c r="G39"/>
    </row>
    <row r="40" spans="1:7" ht="20.100000000000001" customHeight="1">
      <c r="A40" s="18"/>
      <c r="B40" s="8"/>
      <c r="C40" s="8"/>
      <c r="D40" s="8"/>
      <c r="E40" s="8"/>
      <c r="F40" s="8"/>
    </row>
    <row r="41" spans="1:7" ht="24" customHeight="1">
      <c r="A41" s="11"/>
      <c r="B41" s="29"/>
      <c r="C41" s="29"/>
      <c r="D41" s="29"/>
      <c r="E41" s="29"/>
      <c r="F41" s="29"/>
    </row>
  </sheetData>
  <dataConsolidate/>
  <mergeCells count="12">
    <mergeCell ref="E38:F38"/>
    <mergeCell ref="B9:C9"/>
    <mergeCell ref="B10:C10"/>
    <mergeCell ref="B11:C11"/>
    <mergeCell ref="B36:C36"/>
    <mergeCell ref="B37:C37"/>
    <mergeCell ref="B38:C38"/>
    <mergeCell ref="B7:C7"/>
    <mergeCell ref="B8:C8"/>
    <mergeCell ref="B34:C34"/>
    <mergeCell ref="B35:C35"/>
    <mergeCell ref="B2:D4"/>
  </mergeCells>
  <phoneticPr fontId="4" type="noConversion"/>
  <dataValidations count="6">
    <dataValidation allowBlank="1" showInputMessage="1" showErrorMessage="1" prompt="Create an Invoice in this worksheet. Helpful instructions on how to use this worksheet are in cells in this column. Arrow down to get started." sqref="A1" xr:uid="{731311B1-FF9A-4F4A-9D1A-64581C557E18}"/>
    <dataValidation allowBlank="1" showInputMessage="1" showErrorMessage="1" prompt="Enter Bill To details such as Company Name, Address, Phone and Email into cells from B8 to B11._x000a__x000a_Enter Invoice Number, Invoice Date and Due Date into cells from F8 to F11." sqref="A7" xr:uid="{87EF72D7-1652-4DFB-AC4A-DBE87B2CE7F1}"/>
    <dataValidation allowBlank="1" showInputMessage="1" showErrorMessage="1" prompt="Enter Signature into cells from E37 to F37." sqref="A37" xr:uid="{09BE66A8-16F8-4967-B488-FB818BB8B4DC}"/>
    <dataValidation allowBlank="1" showInputMessage="1" showErrorMessage="1" prompt="Enter Contact Info such as Company Name, Address, Phone and Email into cells from B35 to B38." sqref="A34" xr:uid="{8FD29E1F-9AFE-466B-B859-A37BB97DF17D}"/>
    <dataValidation allowBlank="1" showInputMessage="1" showErrorMessage="1" prompt="Enter Payment Method such as Bank Name, Bank Account into cells from B31 to B32._x000a__x000a_Enter Terms &amp; Conditions into the cells starting from E31." sqref="A30" xr:uid="{78B93922-6EF8-40B3-8838-EBCC96B6BB6D}"/>
    <dataValidation allowBlank="1" showInputMessage="1" showErrorMessage="1" prompt="Enter information in the Invoice Details table, starting from cell B15. Subtotal and Total Due are automatically calculated." sqref="A14" xr:uid="{F9A06111-6F8F-4198-82AA-2BE53C07EC90}"/>
  </dataValidations>
  <hyperlinks>
    <hyperlink ref="B10:C10" r:id="rId1" display="abdelrahmanezz@jse.eg" xr:uid="{53DA70E6-BB6A-4E5A-AEED-7724E5FA00F1}"/>
    <hyperlink ref="B37:C37" r:id="rId2" display="finance@abotaleb.eg" xr:uid="{48B0EF2F-254F-47EC-9B10-CC34A5B592ED}"/>
  </hyperlinks>
  <printOptions horizontalCentered="1" verticalCentered="1"/>
  <pageMargins left="0.7" right="0.7" top="0.75" bottom="0.75" header="0.3" footer="0.3"/>
  <pageSetup scale="77" orientation="portrait"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9DCF17-CB93-4863-8565-5EBA5F430092}"/>
</file>

<file path=customXml/itemProps2.xml><?xml version="1.0" encoding="utf-8"?>
<ds:datastoreItem xmlns:ds="http://schemas.openxmlformats.org/officeDocument/2006/customXml" ds:itemID="{F3853A1B-10A1-4EEA-8B1E-F36CC874E437}"/>
</file>

<file path=customXml/itemProps3.xml><?xml version="1.0" encoding="utf-8"?>
<ds:datastoreItem xmlns:ds="http://schemas.openxmlformats.org/officeDocument/2006/customXml" ds:itemID="{01822074-DAB5-41EB-806F-0CA2B821405C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2026-09-07T08:27:01Z</dcterms:created>
  <dcterms:modified xsi:type="dcterms:W3CDTF">2026-09-07T08:45:43Z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